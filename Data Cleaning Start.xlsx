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pgrad\Downloads\"/>
    </mc:Choice>
  </mc:AlternateContent>
  <bookViews>
    <workbookView xWindow="0" yWindow="495" windowWidth="35835" windowHeight="21900"/>
  </bookViews>
  <sheets>
    <sheet name="cleaning data" sheetId="2" r:id="rId1"/>
    <sheet name="complex data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0" i="2" l="1"/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2" i="2"/>
</calcChain>
</file>

<file path=xl/sharedStrings.xml><?xml version="1.0" encoding="utf-8"?>
<sst xmlns="http://schemas.openxmlformats.org/spreadsheetml/2006/main" count="432" uniqueCount="246">
  <si>
    <t>Date</t>
  </si>
  <si>
    <t>Contact</t>
  </si>
  <si>
    <t>Revenue</t>
  </si>
  <si>
    <t>Profit</t>
  </si>
  <si>
    <t>Profit Margin</t>
  </si>
  <si>
    <t>Client</t>
  </si>
  <si>
    <t>Department</t>
  </si>
  <si>
    <t>Nyla Novak</t>
  </si>
  <si>
    <t>Kylee Townsend</t>
  </si>
  <si>
    <t>Nora Rollins</t>
  </si>
  <si>
    <t>Lucia Mckay</t>
  </si>
  <si>
    <t>Mik Naam</t>
  </si>
  <si>
    <t>Payment</t>
  </si>
  <si>
    <t>Card</t>
  </si>
  <si>
    <t>PayPal</t>
  </si>
  <si>
    <t>Check</t>
  </si>
  <si>
    <t>Transfer</t>
  </si>
  <si>
    <t>amazon.com, inc.</t>
  </si>
  <si>
    <t>tesla, inc.</t>
  </si>
  <si>
    <t>netflix, inc.</t>
  </si>
  <si>
    <t>the procter &amp; gamble company</t>
  </si>
  <si>
    <t>the goldman sachs group, inc.</t>
  </si>
  <si>
    <t>jpmorgan chase &amp; co.</t>
  </si>
  <si>
    <t>morgan stanley</t>
  </si>
  <si>
    <t>citigroup inc.</t>
  </si>
  <si>
    <t>bank of america corporation</t>
  </si>
  <si>
    <t>walmart inc.</t>
  </si>
  <si>
    <t>target corporation</t>
  </si>
  <si>
    <t>costco wholesale corporation</t>
  </si>
  <si>
    <t>mcdonald's corporation</t>
  </si>
  <si>
    <t>exxon mobil corporation</t>
  </si>
  <si>
    <t>verizon communications inc.</t>
  </si>
  <si>
    <t>the home depot, inc.</t>
  </si>
  <si>
    <t>cisco systems, inc.</t>
  </si>
  <si>
    <t>chevron corporation</t>
  </si>
  <si>
    <t>at&amp;t inc.</t>
  </si>
  <si>
    <t>intel corporation</t>
  </si>
  <si>
    <t>general motors company</t>
  </si>
  <si>
    <t>microsoft corporation</t>
  </si>
  <si>
    <t>comcast corporation</t>
  </si>
  <si>
    <t>dell technologies inc.</t>
  </si>
  <si>
    <t>johnson &amp; johnson</t>
  </si>
  <si>
    <t>fedex corporation</t>
  </si>
  <si>
    <t>general electric company</t>
  </si>
  <si>
    <t>lockheed martin corporation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</si>
  <si>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</si>
  <si>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</si>
  <si>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</si>
  <si>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</si>
  <si>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</si>
  <si>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</si>
  <si>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</si>
  <si>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</si>
  <si>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</si>
  <si>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</si>
  <si>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</si>
  <si>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</si>
  <si>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</si>
  <si>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</si>
  <si>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</si>
  <si>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</si>
  <si>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</si>
  <si>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</si>
  <si>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</si>
  <si>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</si>
  <si>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</si>
  <si>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</si>
  <si>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</si>
  <si>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Region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</si>
  <si>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</si>
  <si>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</si>
  <si>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</si>
  <si>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</si>
  <si>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</si>
  <si>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</si>
  <si>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</si>
  <si>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</si>
  <si>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NA</t>
  </si>
  <si>
    <t>AMAZON.COM, INC. (XNAS:AMZN)</t>
  </si>
  <si>
    <t xml:space="preserve">     Bill SmITH</t>
  </si>
  <si>
    <t>Cloud Tech_Texas</t>
  </si>
  <si>
    <t>TESLA, INC. (XNAS:TSLA)</t>
  </si>
  <si>
    <t>KEN Singh</t>
  </si>
  <si>
    <t>Strategy_New York</t>
  </si>
  <si>
    <t>NETFLIX, INC. (XNAS:NFLX)</t>
  </si>
  <si>
    <t xml:space="preserve">  Harley        Fritz</t>
  </si>
  <si>
    <t>THE PROCTER &amp; GAMBLE COMPANY (XNYS:PG)</t>
  </si>
  <si>
    <t>Operations_Florida</t>
  </si>
  <si>
    <t>THE GOLDMAN SACHS GROUP, INC. (XNYS:GS)</t>
  </si>
  <si>
    <t>David    Rasmussen</t>
  </si>
  <si>
    <t>JPMORGAN CHASE &amp; CO. (XNYS:JPM)</t>
  </si>
  <si>
    <t>IVAN HINEY</t>
  </si>
  <si>
    <t>MORGAN STANLEY (XNYS:MS)</t>
  </si>
  <si>
    <t>JONha Ma</t>
  </si>
  <si>
    <t>CITIGROUP INC. (XNYS:C)</t>
  </si>
  <si>
    <t xml:space="preserve">     Jordan Boone</t>
  </si>
  <si>
    <t>BANK OF AMERICA CORPORATION (XNYS:BAC)</t>
  </si>
  <si>
    <t>WALMART INC. (XNYS:WMT)</t>
  </si>
  <si>
    <t>TARGET CORPORATION (XNYS:TGT)</t>
  </si>
  <si>
    <t>BRENDAN Wallace</t>
  </si>
  <si>
    <t>COSTCO WHOLESALE CORPORATION (XNAS:COST)</t>
  </si>
  <si>
    <t xml:space="preserve">     Conor Wise</t>
  </si>
  <si>
    <t>MCDONALD'S CORPORATION (XNYS:MCD)</t>
  </si>
  <si>
    <t>Steven     MIChael</t>
  </si>
  <si>
    <t>Big Data_California</t>
  </si>
  <si>
    <t>EXXON MOBIL CORPORATION (XNYS:XOM)</t>
  </si>
  <si>
    <t>VERIZON COMMUNICATIONS INC. (XNYS:VZ)</t>
  </si>
  <si>
    <t>JoSE   Roach</t>
  </si>
  <si>
    <t>THE HOME DEPOT, INC. (XNYS:HD)</t>
  </si>
  <si>
    <t>Franklin WRIGT</t>
  </si>
  <si>
    <t>CISCO SYSTEMS, INC. (XNAS:CSCO)</t>
  </si>
  <si>
    <t xml:space="preserve">   Alia       Thornton</t>
  </si>
  <si>
    <t>CHEVRON CORPORATION (XNYS:CVX)</t>
  </si>
  <si>
    <t>Denzel        Flores</t>
  </si>
  <si>
    <t>AT&amp;T INC. (XNYS:T)</t>
  </si>
  <si>
    <t>Bruno CordOVA</t>
  </si>
  <si>
    <t>INTEL CORPORATION (XNAS:INTC)</t>
  </si>
  <si>
    <t>jaylynn   napp</t>
  </si>
  <si>
    <t>GENERAL MOTORS COMPANY (XNYS:GM)</t>
  </si>
  <si>
    <t>Bruce RICH</t>
  </si>
  <si>
    <t>MICROSOFT CORPORATION (XNAS:MSFT)</t>
  </si>
  <si>
    <t xml:space="preserve">     Arturo Moore</t>
  </si>
  <si>
    <t>COMCAST CORPORATION (XNAS:CMCSA)</t>
  </si>
  <si>
    <t>Bryce     Carpenter</t>
  </si>
  <si>
    <t>DELL TECHNOLOGIES INC. (XNYS:DELL)</t>
  </si>
  <si>
    <t>Jaidyn ANDERSEN</t>
  </si>
  <si>
    <t>JOHNSON &amp; JOHNSON (XNYS:JNJ)</t>
  </si>
  <si>
    <t>MARK WALM</t>
  </si>
  <si>
    <t>FEDEX CORPORATION (XNYS:FDX)</t>
  </si>
  <si>
    <t>HARRY LEE</t>
  </si>
  <si>
    <t>GENERAL ELECTRIC COMPANY (XNYS:GE)</t>
  </si>
  <si>
    <t>JOSH JOHNSON</t>
  </si>
  <si>
    <t>LOCKHEED MARTIN CORPORATION (XNYS:LMT)</t>
  </si>
  <si>
    <t>Got it — you want Excel data cleaning formulas (with examples) like a data analyst, no dashboard stuff. I’ll rewrite what’s in your notes clearly + add all important real-world formulas you should know.</t>
  </si>
  <si>
    <t>---</t>
  </si>
  <si>
    <t>🧹 Excel Data Cleaning Formulas (with Examples)</t>
  </si>
  <si>
    <t>1. Remove Extra Spaces</t>
  </si>
  <si>
    <t>Formula:</t>
  </si>
  <si>
    <t>Example:</t>
  </si>
  <si>
    <t>Input: "  Pavan   Kulkarni  "</t>
  </si>
  <si>
    <t>Output: "Pavan Kulkarni"</t>
  </si>
  <si>
    <t>👉 Removes extra spaces (keeps only single space between words)</t>
  </si>
  <si>
    <t>2. Convert Text Case</t>
  </si>
  <si>
    <t>Lowercase</t>
  </si>
  <si>
    <t>PAVAN → "pavan"</t>
  </si>
  <si>
    <t>Uppercase</t>
  </si>
  <si>
    <t>pavan → "PAVAN"</t>
  </si>
  <si>
    <t>Proper Case (Best for names)</t>
  </si>
  <si>
    <t>pavan kulkarni → "Pavan Kulkarni"</t>
  </si>
  <si>
    <t>3. Remove Non-Printable Characters</t>
  </si>
  <si>
    <t>👉 Removes hidden/unwanted characters (common in imported data)</t>
  </si>
  <si>
    <t>4. Combine TRIM + CLEAN (Very Important)</t>
  </si>
  <si>
    <t>👉 Use this in real datasets (most powerful basic cleaning)</t>
  </si>
  <si>
    <t>5. Find &amp; Replace (Shortcut)</t>
  </si>
  <si>
    <t>Press: Ctrl + H</t>
  </si>
  <si>
    <t>👉 Example:</t>
  </si>
  <si>
    <t>Replace "N/A" → blank</t>
  </si>
  <si>
    <t>Replace "Male" → "M"</t>
  </si>
  <si>
    <t>6. Remove Specific Characters</t>
  </si>
  <si>
    <t>Remove spaces inside text</t>
  </si>
  <si>
    <t>Remove commas</t>
  </si>
  <si>
    <t>7. Extract Text (LEFT, RIGHT, MID)</t>
  </si>
  <si>
    <t>LEFT</t>
  </si>
  <si>
    <t>20260504 → "2026"</t>
  </si>
  <si>
    <t>RIGHT</t>
  </si>
  <si>
    <t>MH12 → "12"</t>
  </si>
  <si>
    <t>MID</t>
  </si>
  <si>
    <t>Pavan → "ava"</t>
  </si>
  <si>
    <t>8. Split Data (Text to Columns alternative)</t>
  </si>
  <si>
    <t>If no built-in split:</t>
  </si>
  <si>
    <t>Extract first name</t>
  </si>
  <si>
    <t>Extract last name</t>
  </si>
  <si>
    <t>9. Handle Missing Values</t>
  </si>
  <si>
    <t>Replace blank with default</t>
  </si>
  <si>
    <t>10. Remove Duplicates (Formula Way)</t>
  </si>
  <si>
    <t>Identify duplicates</t>
  </si>
  <si>
    <t>TRUE = duplicate</t>
  </si>
  <si>
    <t>11. Conditional Cleaning</t>
  </si>
  <si>
    <t>Example: Standardize Gender</t>
  </si>
  <si>
    <t>=IF(OR(A2="Male",A2="M"),"M",</t>
  </si>
  <si>
    <t xml:space="preserve"> IF(OR(A2="Female",A2="F"),"F","Other"))</t>
  </si>
  <si>
    <t>12. Convert Text to Number</t>
  </si>
  <si>
    <t>13. Remove Leading Zeros</t>
  </si>
  <si>
    <t>00123 → 123</t>
  </si>
  <si>
    <t>14. Date Cleaning</t>
  </si>
  <si>
    <t>Convert text to date</t>
  </si>
  <si>
    <t>15. Check Errors</t>
  </si>
  <si>
    <t>16. Standardize Text (Important in real datasets)</t>
  </si>
  <si>
    <t>Example: Fix country names</t>
  </si>
  <si>
    <t xml:space="preserve"> IF(A2="USA","US","Other"))</t>
  </si>
  <si>
    <t>17. Concatenate (Combine Columns)</t>
  </si>
  <si>
    <t>or</t>
  </si>
  <si>
    <t>18. Length Check (Data Validation)</t>
  </si>
  <si>
    <t>👉 Useful for checking phone numbers, IDs</t>
  </si>
  <si>
    <t>19. Remove Line Breaks</t>
  </si>
  <si>
    <t>20. Advanced Cleaning Combo (🔥 Real Analyst Use)</t>
  </si>
  <si>
    <t>👉 Best for names and text cleaning</t>
  </si>
  <si>
    <t>⚡ Your Notes (Corrected)</t>
  </si>
  <si>
    <t>From your notebook:</t>
  </si>
  <si>
    <t>Autofit column:</t>
  </si>
  <si>
    <t>Alt + H + O + I</t>
  </si>
  <si>
    <t>Autofit row:</t>
  </si>
  <si>
    <t>Alt + H + O + A</t>
  </si>
  <si>
    <t>Find &amp; Replace:</t>
  </si>
  <si>
    <t>Ctrl + H</t>
  </si>
  <si>
    <t>New column:</t>
  </si>
  <si>
    <t>Ctrl + Shift + +</t>
  </si>
  <si>
    <t>Delete column:</t>
  </si>
  <si>
    <t>Ctrl + -</t>
  </si>
  <si>
    <t>💡 Real Data Analyst Tip</t>
  </si>
  <si>
    <t>Always follow this order:</t>
  </si>
  <si>
    <t>1. Remove spaces → TRIM</t>
  </si>
  <si>
    <t>2. Clean hidden chars → CLEAN</t>
  </si>
  <si>
    <t>3. Standardize text → LOWER/UPPER/PROPER</t>
  </si>
  <si>
    <t>4. Handle blanks → IF</t>
  </si>
  <si>
    <t>5. Remove duplicates</t>
  </si>
  <si>
    <t>6. Convert data types</t>
  </si>
  <si>
    <t>If you want next level 🚀</t>
  </si>
  <si>
    <t>I can give you:</t>
  </si>
  <si>
    <t>Real dataset practice (like company data cleaning)</t>
  </si>
  <si>
    <t>Excel interview questions for data analyst</t>
  </si>
  <si>
    <t>Step-by-step project for job-ready skills</t>
  </si>
  <si>
    <t>Just tell 👍</t>
  </si>
  <si>
    <t>TRIM(a2)</t>
  </si>
  <si>
    <t>lower(a2)</t>
  </si>
  <si>
    <t>upper(a2)</t>
  </si>
  <si>
    <t>clean(a2)</t>
  </si>
  <si>
    <t>trim(clean(a2)</t>
  </si>
  <si>
    <t>substitute(a2," ","")</t>
  </si>
  <si>
    <t>substitute(a2,",","")</t>
  </si>
  <si>
    <t>left(a2,4)</t>
  </si>
  <si>
    <t>right(a2,2)</t>
  </si>
  <si>
    <t>MID(A2,2,3)</t>
  </si>
  <si>
    <t>LEFT(A2,FIND(" ",A2)-1)</t>
  </si>
  <si>
    <t>RIGHT(A2,LEN(A2)-FIND(" ",A2))</t>
  </si>
  <si>
    <t>IF(A2="","Unknown",A2)</t>
  </si>
  <si>
    <t>COUNTIF(A:A,A2)&gt;1</t>
  </si>
  <si>
    <t>VALUE(A2)</t>
  </si>
  <si>
    <t>DATEVALUE(A2)</t>
  </si>
  <si>
    <t>IFERROR(A2,"Error")</t>
  </si>
  <si>
    <t>IF(A2="India","IND",)</t>
  </si>
  <si>
    <t>A2 &amp; " " &amp; B2</t>
  </si>
  <si>
    <t>CONCAT(A2,B2)</t>
  </si>
  <si>
    <t>LEN(A2)</t>
  </si>
  <si>
    <t>SUBSTITUTE(A2,CHAR(10)," ")</t>
  </si>
  <si>
    <t>PROPER(TRIM(CLEAN(A2)))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</si>
</sst>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_);[Red]\(&quot;$&quot;#,##0\)"/>
    <numFmt numFmtId="164" formatCode="0.0%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6" fontId="0" fillId="0" borderId="0" xfId="0" applyNumberFormat="1" applyAlignment="1">
      <alignment horizontal="center"/>
    </xf>
    <xf numFmtId="164" fontId="0" fillId="0" borderId="0" xfId="1" applyNumberFormat="1" applyFont="1"/>
    <xf numFmtId="14" fontId="0" fillId="0" borderId="0" xfId="0" applyNumberForma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0" fillId="3" borderId="0" xfId="0" applyFill="1"/>
    <xf numFmtId="0" fontId="0" fillId="0" borderId="0" xfId="0"/>
    <xf numFmtId="6" fontId="0" fillId="0" borderId="0" xfId="0" applyNumberFormat="1" applyAlignment="1">
      <alignment horizontal="center"/>
    </xf>
    <xf numFmtId="164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9"/>
  <sheetViews>
    <sheetView showGridLines="0" tabSelected="1" topLeftCell="A127" zoomScale="115" zoomScaleNormal="115" workbookViewId="0">
      <selection activeCell="C65" sqref="C65"/>
    </sheetView>
  </sheetViews>
  <sheetFormatPr defaultColWidth="11" defaultRowHeight="15.75" x14ac:dyDescent="0.25"/>
  <cols>
    <col min="1" max="1" width="6.625" customWidth="1"/>
    <col min="2" max="2" width="9.625" customWidth="1"/>
    <col min="3" max="3" width="43.125" customWidth="1"/>
    <col min="4" max="4" width="16.875" customWidth="1"/>
    <col min="5" max="5" width="16.875" bestFit="1" customWidth="1"/>
    <col min="6" max="6" width="16.875" customWidth="1"/>
    <col min="7" max="7" width="8.25" customWidth="1"/>
    <col min="8" max="8" width="8.125" customWidth="1"/>
    <col min="9" max="9" width="7.125" customWidth="1"/>
    <col min="10" max="10" width="11.875" customWidth="1"/>
  </cols>
  <sheetData>
    <row r="1" spans="2:10" x14ac:dyDescent="0.25">
      <c r="B1" s="4" t="s">
        <v>0</v>
      </c>
      <c r="C1" s="4" t="s">
        <v>5</v>
      </c>
      <c r="D1" s="5" t="s">
        <v>1</v>
      </c>
      <c r="E1" s="5" t="s">
        <v>6</v>
      </c>
      <c r="F1" s="5" t="s">
        <v>68</v>
      </c>
      <c r="G1" s="5" t="s">
        <v>12</v>
      </c>
      <c r="H1" s="5" t="s">
        <v>2</v>
      </c>
      <c r="I1" s="5" t="s">
        <v>3</v>
      </c>
      <c r="J1" s="5" t="s">
        <v>4</v>
      </c>
    </row>
    <row r="2" spans="2:10" x14ac:dyDescent="0.25">
      <c r="B2" s="3">
        <v>45076</v>
      </c>
      <c r="C2" t="s">
        <v>17</v>
      </c>
      <c r="D2" t="s">
        <v>45</v>
      </c>
      <c r="E2" t="s">
        <v>69</v>
      </c>
      <c r="F2" t="s">
        <v>70</v>
      </c>
      <c r="G2" t="s">
        <v>16</v>
      </c>
      <c r="H2" s="1">
        <v>4500</v>
      </c>
      <c r="I2" s="1">
        <v>598</v>
      </c>
      <c r="J2" s="2">
        <f>IFERROR(I2/H2,"NA")</f>
        <v>0.13288888888888889</v>
      </c>
    </row>
    <row r="3" spans="2:10" x14ac:dyDescent="0.25">
      <c r="B3" s="3">
        <v>45076</v>
      </c>
      <c r="C3" t="s">
        <v>18</v>
      </c>
      <c r="D3" t="s">
        <v>46</v>
      </c>
      <c r="E3" t="s">
        <v>71</v>
      </c>
      <c r="F3" t="s">
        <v>72</v>
      </c>
      <c r="G3" t="s">
        <v>14</v>
      </c>
      <c r="H3" s="1">
        <v>3800</v>
      </c>
      <c r="I3" s="1">
        <v>1045</v>
      </c>
      <c r="J3" s="2">
        <f t="shared" ref="J3:J32" si="0">IFERROR(I3/H3,"NA")</f>
        <v>0.27500000000000002</v>
      </c>
    </row>
    <row r="4" spans="2:10" x14ac:dyDescent="0.25">
      <c r="B4" s="3">
        <v>45076</v>
      </c>
      <c r="C4" t="s">
        <v>19</v>
      </c>
      <c r="D4" t="s">
        <v>47</v>
      </c>
      <c r="E4" t="s">
        <v>71</v>
      </c>
      <c r="F4" t="s">
        <v>72</v>
      </c>
      <c r="G4" t="s">
        <v>77</v>
      </c>
      <c r="H4" s="1">
        <v>3712.5</v>
      </c>
      <c r="I4" s="1">
        <v>1009</v>
      </c>
      <c r="J4" s="2">
        <f t="shared" si="0"/>
        <v>0.2717845117845118</v>
      </c>
    </row>
    <row r="5" spans="2:10" x14ac:dyDescent="0.25">
      <c r="B5" s="3">
        <v>45076</v>
      </c>
      <c r="C5" t="s">
        <v>20</v>
      </c>
      <c r="D5" t="s">
        <v>7</v>
      </c>
      <c r="E5" t="s">
        <v>73</v>
      </c>
      <c r="F5" t="s">
        <v>74</v>
      </c>
      <c r="G5" t="s">
        <v>77</v>
      </c>
      <c r="H5" s="1" t="s">
        <v>77</v>
      </c>
      <c r="I5" s="1">
        <v>779</v>
      </c>
      <c r="J5" s="2" t="str">
        <f t="shared" si="0"/>
        <v>NA</v>
      </c>
    </row>
    <row r="6" spans="2:10" x14ac:dyDescent="0.25">
      <c r="B6" s="3">
        <v>45076</v>
      </c>
      <c r="C6" t="s">
        <v>21</v>
      </c>
      <c r="D6" t="s">
        <v>48</v>
      </c>
      <c r="E6" t="s">
        <v>73</v>
      </c>
      <c r="F6" t="s">
        <v>74</v>
      </c>
      <c r="G6" t="s">
        <v>15</v>
      </c>
      <c r="H6" s="1">
        <v>5000</v>
      </c>
      <c r="I6" s="1">
        <v>684</v>
      </c>
      <c r="J6" s="2">
        <f t="shared" si="0"/>
        <v>0.1368</v>
      </c>
    </row>
    <row r="7" spans="2:10" x14ac:dyDescent="0.25">
      <c r="B7" s="3">
        <v>45077</v>
      </c>
      <c r="C7" t="s">
        <v>22</v>
      </c>
      <c r="D7" t="s">
        <v>49</v>
      </c>
      <c r="E7" t="s">
        <v>69</v>
      </c>
      <c r="F7" t="s">
        <v>70</v>
      </c>
      <c r="G7" t="s">
        <v>16</v>
      </c>
      <c r="H7" s="1">
        <v>6100</v>
      </c>
      <c r="I7" s="1">
        <v>544</v>
      </c>
      <c r="J7" s="2">
        <f t="shared" si="0"/>
        <v>8.9180327868852466E-2</v>
      </c>
    </row>
    <row r="8" spans="2:10" x14ac:dyDescent="0.25">
      <c r="B8" s="3">
        <v>45077</v>
      </c>
      <c r="C8" t="s">
        <v>23</v>
      </c>
      <c r="D8" t="s">
        <v>50</v>
      </c>
      <c r="E8" t="s">
        <v>69</v>
      </c>
      <c r="F8" t="s">
        <v>70</v>
      </c>
      <c r="G8" t="s">
        <v>16</v>
      </c>
      <c r="H8" s="1">
        <v>4625</v>
      </c>
      <c r="I8" s="1">
        <v>670</v>
      </c>
      <c r="J8" s="2">
        <f t="shared" si="0"/>
        <v>0.14486486486486486</v>
      </c>
    </row>
    <row r="9" spans="2:10" x14ac:dyDescent="0.25">
      <c r="B9" s="3">
        <v>45077</v>
      </c>
      <c r="C9" t="s">
        <v>24</v>
      </c>
      <c r="D9" t="s">
        <v>51</v>
      </c>
      <c r="E9" t="s">
        <v>69</v>
      </c>
      <c r="F9" t="s">
        <v>70</v>
      </c>
      <c r="G9" t="s">
        <v>16</v>
      </c>
      <c r="H9" s="1">
        <v>3800</v>
      </c>
      <c r="I9" s="1">
        <v>2045</v>
      </c>
      <c r="J9" s="2">
        <f t="shared" si="0"/>
        <v>0.53815789473684206</v>
      </c>
    </row>
    <row r="10" spans="2:10" x14ac:dyDescent="0.25">
      <c r="B10" s="3">
        <v>45077</v>
      </c>
      <c r="C10" t="s">
        <v>25</v>
      </c>
      <c r="D10" t="s">
        <v>8</v>
      </c>
      <c r="E10" t="s">
        <v>69</v>
      </c>
      <c r="F10" t="s">
        <v>70</v>
      </c>
      <c r="G10" t="s">
        <v>13</v>
      </c>
      <c r="H10" s="1">
        <v>3600</v>
      </c>
      <c r="I10" s="1">
        <v>1564</v>
      </c>
      <c r="J10" s="2">
        <f t="shared" si="0"/>
        <v>0.43444444444444447</v>
      </c>
    </row>
    <row r="11" spans="2:10" x14ac:dyDescent="0.25">
      <c r="B11" s="3">
        <v>45077</v>
      </c>
      <c r="C11" t="s">
        <v>26</v>
      </c>
      <c r="D11" t="s">
        <v>9</v>
      </c>
      <c r="E11" t="s">
        <v>69</v>
      </c>
      <c r="F11" t="s">
        <v>70</v>
      </c>
      <c r="G11" t="s">
        <v>15</v>
      </c>
      <c r="H11" s="1">
        <v>5100</v>
      </c>
      <c r="I11" s="1">
        <v>1220</v>
      </c>
      <c r="J11" s="2">
        <f t="shared" si="0"/>
        <v>0.23921568627450981</v>
      </c>
    </row>
    <row r="12" spans="2:10" x14ac:dyDescent="0.25">
      <c r="B12" s="3">
        <v>45077</v>
      </c>
      <c r="C12" t="s">
        <v>27</v>
      </c>
      <c r="D12" t="s">
        <v>52</v>
      </c>
      <c r="E12" t="s">
        <v>69</v>
      </c>
      <c r="F12" t="s">
        <v>70</v>
      </c>
      <c r="G12" t="s">
        <v>15</v>
      </c>
      <c r="H12" s="1">
        <v>4750</v>
      </c>
      <c r="I12" s="1">
        <v>1435</v>
      </c>
      <c r="J12" s="2">
        <f t="shared" si="0"/>
        <v>0.30210526315789471</v>
      </c>
    </row>
    <row r="13" spans="2:10" x14ac:dyDescent="0.25">
      <c r="B13" s="3">
        <v>45077</v>
      </c>
      <c r="C13" t="s">
        <v>28</v>
      </c>
      <c r="D13" t="s">
        <v>53</v>
      </c>
      <c r="E13" t="s">
        <v>73</v>
      </c>
      <c r="F13" t="s">
        <v>74</v>
      </c>
      <c r="G13" t="s">
        <v>16</v>
      </c>
      <c r="H13" s="1">
        <v>6000</v>
      </c>
      <c r="I13" s="1">
        <v>998</v>
      </c>
      <c r="J13" s="2">
        <f t="shared" si="0"/>
        <v>0.16633333333333333</v>
      </c>
    </row>
    <row r="14" spans="2:10" x14ac:dyDescent="0.25">
      <c r="B14" s="3">
        <v>45077</v>
      </c>
      <c r="C14" t="s">
        <v>29</v>
      </c>
      <c r="D14" t="s">
        <v>54</v>
      </c>
      <c r="E14" t="s">
        <v>75</v>
      </c>
      <c r="F14" t="s">
        <v>76</v>
      </c>
      <c r="G14" t="s">
        <v>15</v>
      </c>
      <c r="H14" s="1">
        <v>4500</v>
      </c>
      <c r="I14" s="1">
        <v>780</v>
      </c>
      <c r="J14" s="2">
        <f t="shared" si="0"/>
        <v>0.17333333333333334</v>
      </c>
    </row>
    <row r="15" spans="2:10" x14ac:dyDescent="0.25">
      <c r="B15" s="3">
        <v>45078</v>
      </c>
      <c r="C15" t="s">
        <v>30</v>
      </c>
      <c r="D15" t="s">
        <v>10</v>
      </c>
      <c r="E15" t="s">
        <v>75</v>
      </c>
      <c r="F15" t="s">
        <v>76</v>
      </c>
      <c r="G15" t="s">
        <v>13</v>
      </c>
      <c r="H15" s="1" t="s">
        <v>77</v>
      </c>
      <c r="I15" s="1">
        <v>1044</v>
      </c>
      <c r="J15" s="2" t="str">
        <f t="shared" si="0"/>
        <v>NA</v>
      </c>
    </row>
    <row r="16" spans="2:10" x14ac:dyDescent="0.25">
      <c r="B16" s="3">
        <v>45078</v>
      </c>
      <c r="C16" t="s">
        <v>31</v>
      </c>
      <c r="D16" t="s">
        <v>55</v>
      </c>
      <c r="E16" t="s">
        <v>75</v>
      </c>
      <c r="F16" t="s">
        <v>76</v>
      </c>
      <c r="G16" t="s">
        <v>16</v>
      </c>
      <c r="H16" s="1">
        <v>3712.5</v>
      </c>
      <c r="I16" s="1">
        <v>1222</v>
      </c>
      <c r="J16" s="2">
        <f t="shared" si="0"/>
        <v>0.32915824915824915</v>
      </c>
    </row>
    <row r="17" spans="2:10" x14ac:dyDescent="0.25">
      <c r="B17" s="3">
        <v>45078</v>
      </c>
      <c r="C17" t="s">
        <v>32</v>
      </c>
      <c r="D17" t="s">
        <v>56</v>
      </c>
      <c r="E17" t="s">
        <v>75</v>
      </c>
      <c r="F17" t="s">
        <v>76</v>
      </c>
      <c r="G17" t="s">
        <v>16</v>
      </c>
      <c r="H17" s="1">
        <v>4950</v>
      </c>
      <c r="I17" s="1">
        <v>1065</v>
      </c>
      <c r="J17" s="2">
        <f t="shared" si="0"/>
        <v>0.21515151515151515</v>
      </c>
    </row>
    <row r="18" spans="2:10" x14ac:dyDescent="0.25">
      <c r="B18" s="3">
        <v>45078</v>
      </c>
      <c r="C18" t="s">
        <v>33</v>
      </c>
      <c r="D18" t="s">
        <v>57</v>
      </c>
      <c r="E18" t="s">
        <v>73</v>
      </c>
      <c r="F18" t="s">
        <v>74</v>
      </c>
      <c r="G18" t="s">
        <v>16</v>
      </c>
      <c r="H18" s="1">
        <v>4750</v>
      </c>
      <c r="I18" s="1">
        <v>810</v>
      </c>
      <c r="J18" s="2">
        <f t="shared" si="0"/>
        <v>0.17052631578947369</v>
      </c>
    </row>
    <row r="19" spans="2:10" x14ac:dyDescent="0.25">
      <c r="B19" s="3">
        <v>45078</v>
      </c>
      <c r="C19" t="s">
        <v>34</v>
      </c>
      <c r="D19" t="s">
        <v>58</v>
      </c>
      <c r="E19" t="s">
        <v>73</v>
      </c>
      <c r="F19" t="s">
        <v>74</v>
      </c>
      <c r="G19" t="s">
        <v>16</v>
      </c>
      <c r="H19" s="1">
        <v>7320</v>
      </c>
      <c r="I19" s="1">
        <v>933</v>
      </c>
      <c r="J19" s="2">
        <f t="shared" si="0"/>
        <v>0.12745901639344262</v>
      </c>
    </row>
    <row r="20" spans="2:10" x14ac:dyDescent="0.25">
      <c r="B20" s="3">
        <v>45077</v>
      </c>
      <c r="C20" t="s">
        <v>28</v>
      </c>
      <c r="D20" t="s">
        <v>53</v>
      </c>
      <c r="E20" t="s">
        <v>73</v>
      </c>
      <c r="F20" t="s">
        <v>74</v>
      </c>
      <c r="G20" t="s">
        <v>16</v>
      </c>
      <c r="H20" s="1">
        <v>6000</v>
      </c>
      <c r="I20" s="1">
        <v>998</v>
      </c>
      <c r="J20" s="2">
        <f t="shared" si="0"/>
        <v>0.16633333333333333</v>
      </c>
    </row>
    <row r="21" spans="2:10" x14ac:dyDescent="0.25">
      <c r="B21" s="3">
        <v>45077</v>
      </c>
      <c r="C21" t="s">
        <v>29</v>
      </c>
      <c r="D21" t="s">
        <v>54</v>
      </c>
      <c r="E21" t="s">
        <v>75</v>
      </c>
      <c r="F21" t="s">
        <v>76</v>
      </c>
      <c r="G21" t="s">
        <v>15</v>
      </c>
      <c r="H21" s="1">
        <v>4500</v>
      </c>
      <c r="I21" s="1">
        <v>780</v>
      </c>
      <c r="J21" s="2">
        <f t="shared" si="0"/>
        <v>0.17333333333333334</v>
      </c>
    </row>
    <row r="22" spans="2:10" x14ac:dyDescent="0.25">
      <c r="B22" s="3">
        <v>45078</v>
      </c>
      <c r="C22" t="s">
        <v>35</v>
      </c>
      <c r="D22" t="s">
        <v>59</v>
      </c>
      <c r="E22" t="s">
        <v>75</v>
      </c>
      <c r="F22" t="s">
        <v>76</v>
      </c>
      <c r="G22" t="s">
        <v>16</v>
      </c>
      <c r="H22" s="1">
        <v>5087.5</v>
      </c>
      <c r="I22" s="1">
        <v>655</v>
      </c>
      <c r="J22" s="2">
        <f t="shared" si="0"/>
        <v>0.12874692874692875</v>
      </c>
    </row>
    <row r="23" spans="2:10" x14ac:dyDescent="0.25">
      <c r="B23" s="3">
        <v>45078</v>
      </c>
      <c r="C23" t="s">
        <v>36</v>
      </c>
      <c r="D23" t="s">
        <v>60</v>
      </c>
      <c r="E23" t="s">
        <v>75</v>
      </c>
      <c r="F23" t="s">
        <v>76</v>
      </c>
      <c r="G23" t="s">
        <v>16</v>
      </c>
      <c r="H23" s="1">
        <v>4500</v>
      </c>
      <c r="I23" s="1">
        <v>722</v>
      </c>
      <c r="J23" s="2">
        <f t="shared" si="0"/>
        <v>0.16044444444444445</v>
      </c>
    </row>
    <row r="24" spans="2:10" x14ac:dyDescent="0.25">
      <c r="B24" s="3">
        <v>45078</v>
      </c>
      <c r="C24" t="s">
        <v>37</v>
      </c>
      <c r="D24" t="s">
        <v>61</v>
      </c>
      <c r="E24" t="s">
        <v>75</v>
      </c>
      <c r="F24" t="s">
        <v>76</v>
      </c>
      <c r="G24" t="s">
        <v>13</v>
      </c>
      <c r="H24" s="1">
        <v>4250</v>
      </c>
      <c r="I24" s="1">
        <v>901</v>
      </c>
      <c r="J24" s="2">
        <f t="shared" si="0"/>
        <v>0.21199999999999999</v>
      </c>
    </row>
    <row r="25" spans="2:10" x14ac:dyDescent="0.25">
      <c r="B25" s="3">
        <v>45079</v>
      </c>
      <c r="C25" t="s">
        <v>38</v>
      </c>
      <c r="D25" t="s">
        <v>62</v>
      </c>
      <c r="E25" t="s">
        <v>75</v>
      </c>
      <c r="F25" t="s">
        <v>76</v>
      </c>
      <c r="G25" t="s">
        <v>14</v>
      </c>
      <c r="H25" s="1">
        <v>5250</v>
      </c>
      <c r="I25" s="1">
        <v>1349</v>
      </c>
      <c r="J25" s="2">
        <f t="shared" si="0"/>
        <v>0.25695238095238093</v>
      </c>
    </row>
    <row r="26" spans="2:10" x14ac:dyDescent="0.25">
      <c r="B26" s="3">
        <v>45079</v>
      </c>
      <c r="C26" t="s">
        <v>39</v>
      </c>
      <c r="D26" t="s">
        <v>63</v>
      </c>
      <c r="E26" t="s">
        <v>71</v>
      </c>
      <c r="F26" t="s">
        <v>72</v>
      </c>
      <c r="G26" t="s">
        <v>14</v>
      </c>
      <c r="H26" s="1">
        <v>6500</v>
      </c>
      <c r="I26" s="1">
        <v>1288</v>
      </c>
      <c r="J26" s="2">
        <f t="shared" si="0"/>
        <v>0.19815384615384615</v>
      </c>
    </row>
    <row r="27" spans="2:10" x14ac:dyDescent="0.25">
      <c r="B27" s="3">
        <v>45079</v>
      </c>
      <c r="C27" t="s">
        <v>40</v>
      </c>
      <c r="D27" t="s">
        <v>64</v>
      </c>
      <c r="E27" t="s">
        <v>71</v>
      </c>
      <c r="F27" t="s">
        <v>72</v>
      </c>
      <c r="G27" t="s">
        <v>14</v>
      </c>
      <c r="H27" s="1">
        <v>7500</v>
      </c>
      <c r="I27" s="1">
        <v>1664</v>
      </c>
      <c r="J27" s="2">
        <f t="shared" si="0"/>
        <v>0.22186666666666666</v>
      </c>
    </row>
    <row r="28" spans="2:10" x14ac:dyDescent="0.25">
      <c r="B28" s="3">
        <v>45079</v>
      </c>
      <c r="C28" t="s">
        <v>41</v>
      </c>
      <c r="D28" t="s">
        <v>65</v>
      </c>
      <c r="E28" t="s">
        <v>71</v>
      </c>
      <c r="F28" t="s">
        <v>72</v>
      </c>
      <c r="G28" t="s">
        <v>16</v>
      </c>
      <c r="H28" s="1">
        <v>5500</v>
      </c>
      <c r="I28" s="1">
        <v>1320</v>
      </c>
      <c r="J28" s="2">
        <f t="shared" si="0"/>
        <v>0.24</v>
      </c>
    </row>
    <row r="29" spans="2:10" x14ac:dyDescent="0.25">
      <c r="B29" s="3">
        <v>45079</v>
      </c>
      <c r="C29" t="s">
        <v>42</v>
      </c>
      <c r="D29" t="s">
        <v>66</v>
      </c>
      <c r="E29" t="s">
        <v>71</v>
      </c>
      <c r="F29" t="s">
        <v>72</v>
      </c>
      <c r="G29" t="s">
        <v>16</v>
      </c>
      <c r="H29" s="1">
        <v>4625</v>
      </c>
      <c r="I29" s="1">
        <v>1001</v>
      </c>
      <c r="J29" s="2">
        <f t="shared" si="0"/>
        <v>0.21643243243243243</v>
      </c>
    </row>
    <row r="30" spans="2:10" x14ac:dyDescent="0.25">
      <c r="B30" s="3">
        <v>45079</v>
      </c>
      <c r="C30" t="s">
        <v>43</v>
      </c>
      <c r="D30" t="s">
        <v>67</v>
      </c>
      <c r="E30" t="s">
        <v>71</v>
      </c>
      <c r="F30" t="s">
        <v>72</v>
      </c>
      <c r="G30" t="s">
        <v>16</v>
      </c>
      <c r="H30" s="1">
        <v>4500</v>
      </c>
      <c r="I30" s="1">
        <v>960</v>
      </c>
      <c r="J30" s="2">
        <f t="shared" si="0"/>
        <v>0.21333333333333335</v>
      </c>
    </row>
    <row r="31" spans="2:10" x14ac:dyDescent="0.25">
      <c r="B31" s="3">
        <v>45079</v>
      </c>
      <c r="C31" t="s">
        <v>44</v>
      </c>
      <c r="D31" t="s">
        <v>11</v>
      </c>
      <c r="E31" t="s">
        <v>71</v>
      </c>
      <c r="F31" t="s">
        <v>72</v>
      </c>
      <c r="G31" t="s">
        <v>13</v>
      </c>
      <c r="H31" s="1">
        <v>5400</v>
      </c>
      <c r="I31" s="1">
        <v>540</v>
      </c>
      <c r="J31" s="2">
        <f t="shared" si="0"/>
        <v>0.1</v>
      </c>
    </row>
    <row r="32" spans="2:10" x14ac:dyDescent="0.25">
      <c r="B32" s="3">
        <v>45076</v>
      </c>
      <c r="C32" t="s">
        <v>21</v>
      </c>
      <c r="D32" t="s">
        <v>48</v>
      </c>
      <c r="E32" t="s">
        <v>73</v>
      </c>
      <c r="F32" t="s">
        <v>74</v>
      </c>
      <c r="G32" t="s">
        <v>15</v>
      </c>
      <c r="H32" s="1">
        <v>5000</v>
      </c>
      <c r="I32" s="1">
        <v>684</v>
      </c>
      <c r="J32" s="2">
        <f t="shared" si="0"/>
        <v>0.1368</v>
      </c>
    </row>
    <row r="33" spans="2:8" x14ac:dyDescent="0.25">
      <c r="H33" s="1"/>
    </row>
    <row r="34" spans="2:8" x14ac:dyDescent="0.25">
      <c r="H34" s="1"/>
    </row>
    <row r="35" spans="2:8" x14ac:dyDescent="0.25">
      <c r="H35" s="1"/>
    </row>
    <row r="36" spans="2:8" x14ac:dyDescent="0.25">
      <c r="H36" s="1"/>
    </row>
    <row r="37" spans="2:8" x14ac:dyDescent="0.25">
      <c r="B37" t="s">
        <v>133</v>
      </c>
      <c r="H37" s="1"/>
    </row>
    <row r="38" spans="2:8" x14ac:dyDescent="0.25">
      <c r="H38" s="1"/>
    </row>
    <row r="39" spans="2:8" x14ac:dyDescent="0.25">
      <c r="H39" s="1"/>
    </row>
    <row r="40" spans="2:8" x14ac:dyDescent="0.25">
      <c r="B40" t="s">
        <v>134</v>
      </c>
      <c r="H40" s="1"/>
    </row>
    <row r="41" spans="2:8" x14ac:dyDescent="0.25">
      <c r="H41" s="1"/>
    </row>
    <row r="42" spans="2:8" x14ac:dyDescent="0.25">
      <c r="B42" t="s">
        <v>135</v>
      </c>
    </row>
    <row r="44" spans="2:8" x14ac:dyDescent="0.25">
      <c r="B44" t="s">
        <v>136</v>
      </c>
    </row>
    <row r="46" spans="2:8" x14ac:dyDescent="0.25">
      <c r="B46" t="s">
        <v>137</v>
      </c>
    </row>
    <row r="48" spans="2:8" x14ac:dyDescent="0.25">
      <c r="B48" s="6" t="s">
        <v>223</v>
      </c>
    </row>
    <row r="50" spans="2:2" x14ac:dyDescent="0.25">
      <c r="B50" t="s">
        <v>138</v>
      </c>
    </row>
    <row r="52" spans="2:2" x14ac:dyDescent="0.25">
      <c r="B52" t="s">
        <v>139</v>
      </c>
    </row>
    <row r="54" spans="2:2" x14ac:dyDescent="0.25">
      <c r="B54" t="s">
        <v>140</v>
      </c>
    </row>
    <row r="57" spans="2:2" x14ac:dyDescent="0.25">
      <c r="B57" t="s">
        <v>141</v>
      </c>
    </row>
    <row r="60" spans="2:2" x14ac:dyDescent="0.25">
      <c r="B60" t="s">
        <v>134</v>
      </c>
    </row>
    <row r="62" spans="2:2" x14ac:dyDescent="0.25">
      <c r="B62" t="s">
        <v>142</v>
      </c>
    </row>
    <row r="64" spans="2:2" x14ac:dyDescent="0.25">
      <c r="B64" t="s">
        <v>143</v>
      </c>
    </row>
    <row r="66" spans="2:2" x14ac:dyDescent="0.25">
      <c r="B66" s="6" t="s">
        <v>224</v>
      </c>
    </row>
    <row r="68" spans="2:2" x14ac:dyDescent="0.25">
      <c r="B68" t="s">
        <v>144</v>
      </c>
    </row>
    <row r="71" spans="2:2" x14ac:dyDescent="0.25">
      <c r="B71" t="s">
        <v>145</v>
      </c>
    </row>
    <row r="73" spans="2:2" x14ac:dyDescent="0.25">
      <c r="B73" s="6" t="s">
        <v>225</v>
      </c>
    </row>
    <row r="75" spans="2:2" x14ac:dyDescent="0.25">
      <c r="B75" t="s">
        <v>146</v>
      </c>
    </row>
    <row r="78" spans="2:2" x14ac:dyDescent="0.25">
      <c r="B78" t="s">
        <v>147</v>
      </c>
    </row>
    <row r="80" spans="2:2" x14ac:dyDescent="0.25">
      <c r="B80" t="str">
        <f>PROPER(A2)</f>
        <v/>
      </c>
    </row>
    <row r="82" spans="2:2" x14ac:dyDescent="0.25">
      <c r="B82" t="s">
        <v>148</v>
      </c>
    </row>
    <row r="86" spans="2:2" x14ac:dyDescent="0.25">
      <c r="B86" t="s">
        <v>134</v>
      </c>
    </row>
    <row r="88" spans="2:2" x14ac:dyDescent="0.25">
      <c r="B88" t="s">
        <v>149</v>
      </c>
    </row>
    <row r="90" spans="2:2" x14ac:dyDescent="0.25">
      <c r="B90" s="6" t="s">
        <v>226</v>
      </c>
    </row>
    <row r="92" spans="2:2" x14ac:dyDescent="0.25">
      <c r="B92" t="s">
        <v>150</v>
      </c>
    </row>
    <row r="95" spans="2:2" x14ac:dyDescent="0.25">
      <c r="B95" t="s">
        <v>134</v>
      </c>
    </row>
    <row r="97" spans="2:3" x14ac:dyDescent="0.25">
      <c r="B97" t="s">
        <v>151</v>
      </c>
    </row>
    <row r="99" spans="2:3" x14ac:dyDescent="0.25">
      <c r="B99" s="6" t="s">
        <v>227</v>
      </c>
      <c r="C99" s="6"/>
    </row>
    <row r="101" spans="2:3" x14ac:dyDescent="0.25">
      <c r="B101" t="s">
        <v>152</v>
      </c>
    </row>
    <row r="104" spans="2:3" x14ac:dyDescent="0.25">
      <c r="B104" t="s">
        <v>134</v>
      </c>
    </row>
    <row r="106" spans="2:3" x14ac:dyDescent="0.25">
      <c r="B106" t="s">
        <v>153</v>
      </c>
    </row>
    <row r="108" spans="2:3" x14ac:dyDescent="0.25">
      <c r="B108" s="6" t="s">
        <v>154</v>
      </c>
      <c r="C108" s="6"/>
    </row>
    <row r="111" spans="2:3" x14ac:dyDescent="0.25">
      <c r="B111" t="s">
        <v>155</v>
      </c>
    </row>
    <row r="113" spans="2:3" x14ac:dyDescent="0.25">
      <c r="B113" t="s">
        <v>156</v>
      </c>
    </row>
    <row r="115" spans="2:3" x14ac:dyDescent="0.25">
      <c r="B115" t="s">
        <v>157</v>
      </c>
    </row>
    <row r="119" spans="2:3" x14ac:dyDescent="0.25">
      <c r="B119" t="s">
        <v>134</v>
      </c>
    </row>
    <row r="121" spans="2:3" x14ac:dyDescent="0.25">
      <c r="B121" t="s">
        <v>158</v>
      </c>
    </row>
    <row r="123" spans="2:3" x14ac:dyDescent="0.25">
      <c r="B123" t="s">
        <v>159</v>
      </c>
    </row>
    <row r="125" spans="2:3" x14ac:dyDescent="0.25">
      <c r="B125" s="6" t="s">
        <v>228</v>
      </c>
      <c r="C125" s="6"/>
    </row>
    <row r="127" spans="2:3" x14ac:dyDescent="0.25">
      <c r="B127" t="s">
        <v>160</v>
      </c>
    </row>
    <row r="129" spans="2:3" x14ac:dyDescent="0.25">
      <c r="B129" s="6" t="s">
        <v>229</v>
      </c>
      <c r="C129" s="6"/>
    </row>
    <row r="132" spans="2:3" x14ac:dyDescent="0.25">
      <c r="B132" t="s">
        <v>134</v>
      </c>
    </row>
    <row r="134" spans="2:3" x14ac:dyDescent="0.25">
      <c r="B134" t="s">
        <v>161</v>
      </c>
    </row>
    <row r="136" spans="2:3" x14ac:dyDescent="0.25">
      <c r="B136" t="s">
        <v>162</v>
      </c>
    </row>
    <row r="138" spans="2:3" x14ac:dyDescent="0.25">
      <c r="B138" s="6" t="s">
        <v>230</v>
      </c>
    </row>
    <row r="140" spans="2:3" x14ac:dyDescent="0.25">
      <c r="B140" t="s">
        <v>163</v>
      </c>
    </row>
    <row r="143" spans="2:3" x14ac:dyDescent="0.25">
      <c r="B143" t="s">
        <v>164</v>
      </c>
    </row>
    <row r="145" spans="2:2" x14ac:dyDescent="0.25">
      <c r="B145" s="6" t="s">
        <v>231</v>
      </c>
    </row>
    <row r="147" spans="2:2" x14ac:dyDescent="0.25">
      <c r="B147" t="s">
        <v>165</v>
      </c>
    </row>
    <row r="150" spans="2:2" x14ac:dyDescent="0.25">
      <c r="B150" t="s">
        <v>166</v>
      </c>
    </row>
    <row r="152" spans="2:2" x14ac:dyDescent="0.25">
      <c r="B152" s="6" t="s">
        <v>232</v>
      </c>
    </row>
    <row r="154" spans="2:2" x14ac:dyDescent="0.25">
      <c r="B154" t="s">
        <v>167</v>
      </c>
    </row>
    <row r="158" spans="2:2" x14ac:dyDescent="0.25">
      <c r="B158" t="s">
        <v>134</v>
      </c>
    </row>
    <row r="160" spans="2:2" x14ac:dyDescent="0.25">
      <c r="B160" t="s">
        <v>168</v>
      </c>
    </row>
    <row r="162" spans="2:3" x14ac:dyDescent="0.25">
      <c r="B162" t="s">
        <v>169</v>
      </c>
    </row>
    <row r="164" spans="2:3" x14ac:dyDescent="0.25">
      <c r="B164" t="s">
        <v>170</v>
      </c>
    </row>
    <row r="166" spans="2:3" x14ac:dyDescent="0.25">
      <c r="B166" s="6" t="s">
        <v>233</v>
      </c>
      <c r="C166" s="6"/>
    </row>
    <row r="168" spans="2:3" x14ac:dyDescent="0.25">
      <c r="B168" t="s">
        <v>171</v>
      </c>
    </row>
    <row r="170" spans="2:3" x14ac:dyDescent="0.25">
      <c r="B170" s="6" t="s">
        <v>234</v>
      </c>
      <c r="C170" s="6"/>
    </row>
    <row r="173" spans="2:3" x14ac:dyDescent="0.25">
      <c r="B173" t="s">
        <v>134</v>
      </c>
    </row>
    <row r="175" spans="2:3" x14ac:dyDescent="0.25">
      <c r="B175" t="s">
        <v>172</v>
      </c>
    </row>
    <row r="177" spans="1:3" x14ac:dyDescent="0.25">
      <c r="B177" t="s">
        <v>173</v>
      </c>
    </row>
    <row r="178" spans="1:3" x14ac:dyDescent="0.25">
      <c r="A178" s="7"/>
    </row>
    <row r="179" spans="1:3" x14ac:dyDescent="0.25">
      <c r="B179" s="6" t="s">
        <v>235</v>
      </c>
      <c r="C179" s="6"/>
    </row>
    <row r="182" spans="1:3" x14ac:dyDescent="0.25">
      <c r="B182" t="s">
        <v>134</v>
      </c>
    </row>
    <row r="184" spans="1:3" x14ac:dyDescent="0.25">
      <c r="B184" t="s">
        <v>174</v>
      </c>
    </row>
    <row r="186" spans="1:3" x14ac:dyDescent="0.25">
      <c r="B186" t="s">
        <v>175</v>
      </c>
    </row>
    <row r="188" spans="1:3" x14ac:dyDescent="0.25">
      <c r="B188" s="6" t="s">
        <v>236</v>
      </c>
      <c r="C188" s="6"/>
    </row>
    <row r="190" spans="1:3" x14ac:dyDescent="0.25">
      <c r="B190" t="s">
        <v>176</v>
      </c>
    </row>
    <row r="194" spans="2:2" x14ac:dyDescent="0.25">
      <c r="B194" t="s">
        <v>134</v>
      </c>
    </row>
    <row r="196" spans="2:2" x14ac:dyDescent="0.25">
      <c r="B196" t="s">
        <v>177</v>
      </c>
    </row>
    <row r="198" spans="2:2" x14ac:dyDescent="0.25">
      <c r="B198" t="s">
        <v>178</v>
      </c>
    </row>
    <row r="200" spans="2:2" x14ac:dyDescent="0.25">
      <c r="B200" t="s">
        <v>179</v>
      </c>
    </row>
    <row r="201" spans="2:2" x14ac:dyDescent="0.25">
      <c r="B201" t="s">
        <v>180</v>
      </c>
    </row>
    <row r="204" spans="2:2" x14ac:dyDescent="0.25">
      <c r="B204" t="s">
        <v>134</v>
      </c>
    </row>
    <row r="206" spans="2:2" x14ac:dyDescent="0.25">
      <c r="B206" t="s">
        <v>181</v>
      </c>
    </row>
    <row r="208" spans="2:2" x14ac:dyDescent="0.25">
      <c r="B208" s="6" t="s">
        <v>237</v>
      </c>
    </row>
    <row r="211" spans="2:2" x14ac:dyDescent="0.25">
      <c r="B211" t="s">
        <v>134</v>
      </c>
    </row>
    <row r="213" spans="2:2" x14ac:dyDescent="0.25">
      <c r="B213" t="s">
        <v>182</v>
      </c>
    </row>
    <row r="215" spans="2:2" x14ac:dyDescent="0.25">
      <c r="B215" s="6" t="s">
        <v>237</v>
      </c>
    </row>
    <row r="217" spans="2:2" x14ac:dyDescent="0.25">
      <c r="B217" t="s">
        <v>183</v>
      </c>
    </row>
    <row r="221" spans="2:2" x14ac:dyDescent="0.25">
      <c r="B221" t="s">
        <v>134</v>
      </c>
    </row>
    <row r="223" spans="2:2" x14ac:dyDescent="0.25">
      <c r="B223" t="s">
        <v>184</v>
      </c>
    </row>
    <row r="225" spans="2:3" x14ac:dyDescent="0.25">
      <c r="B225" t="s">
        <v>185</v>
      </c>
    </row>
    <row r="227" spans="2:3" x14ac:dyDescent="0.25">
      <c r="B227" s="6" t="s">
        <v>238</v>
      </c>
      <c r="C227" s="6"/>
    </row>
    <row r="230" spans="2:3" x14ac:dyDescent="0.25">
      <c r="B230" t="s">
        <v>134</v>
      </c>
    </row>
    <row r="232" spans="2:3" x14ac:dyDescent="0.25">
      <c r="B232" t="s">
        <v>186</v>
      </c>
    </row>
    <row r="234" spans="2:3" x14ac:dyDescent="0.25">
      <c r="B234" s="6" t="s">
        <v>239</v>
      </c>
      <c r="C234" s="6"/>
    </row>
    <row r="237" spans="2:3" x14ac:dyDescent="0.25">
      <c r="B237" t="s">
        <v>134</v>
      </c>
    </row>
    <row r="239" spans="2:3" x14ac:dyDescent="0.25">
      <c r="B239" t="s">
        <v>187</v>
      </c>
    </row>
    <row r="241" spans="2:3" x14ac:dyDescent="0.25">
      <c r="B241" t="s">
        <v>188</v>
      </c>
    </row>
    <row r="243" spans="2:3" x14ac:dyDescent="0.25">
      <c r="B243" s="6" t="s">
        <v>240</v>
      </c>
      <c r="C243" s="6"/>
    </row>
    <row r="244" spans="2:3" x14ac:dyDescent="0.25">
      <c r="B244" s="6" t="s">
        <v>189</v>
      </c>
      <c r="C244" s="6"/>
    </row>
    <row r="247" spans="2:3" x14ac:dyDescent="0.25">
      <c r="B247" t="s">
        <v>134</v>
      </c>
    </row>
    <row r="249" spans="2:3" x14ac:dyDescent="0.25">
      <c r="B249" t="s">
        <v>190</v>
      </c>
    </row>
    <row r="251" spans="2:3" x14ac:dyDescent="0.25">
      <c r="B251" s="6" t="s">
        <v>241</v>
      </c>
      <c r="C251" s="6"/>
    </row>
    <row r="253" spans="2:3" x14ac:dyDescent="0.25">
      <c r="B253" t="s">
        <v>191</v>
      </c>
    </row>
    <row r="255" spans="2:3" x14ac:dyDescent="0.25">
      <c r="B255" s="6" t="s">
        <v>242</v>
      </c>
      <c r="C255" s="6"/>
    </row>
    <row r="258" spans="2:3" x14ac:dyDescent="0.25">
      <c r="B258" t="s">
        <v>134</v>
      </c>
    </row>
    <row r="260" spans="2:3" x14ac:dyDescent="0.25">
      <c r="B260" t="s">
        <v>192</v>
      </c>
    </row>
    <row r="262" spans="2:3" x14ac:dyDescent="0.25">
      <c r="B262" s="6" t="s">
        <v>243</v>
      </c>
    </row>
    <row r="264" spans="2:3" x14ac:dyDescent="0.25">
      <c r="B264" t="s">
        <v>193</v>
      </c>
    </row>
    <row r="267" spans="2:3" x14ac:dyDescent="0.25">
      <c r="B267" t="s">
        <v>134</v>
      </c>
    </row>
    <row r="269" spans="2:3" x14ac:dyDescent="0.25">
      <c r="B269" t="s">
        <v>194</v>
      </c>
    </row>
    <row r="271" spans="2:3" x14ac:dyDescent="0.25">
      <c r="B271" s="6" t="s">
        <v>244</v>
      </c>
      <c r="C271" s="6"/>
    </row>
    <row r="274" spans="2:3" x14ac:dyDescent="0.25">
      <c r="B274" t="s">
        <v>134</v>
      </c>
    </row>
    <row r="276" spans="2:3" x14ac:dyDescent="0.25">
      <c r="B276" t="s">
        <v>195</v>
      </c>
    </row>
    <row r="278" spans="2:3" x14ac:dyDescent="0.25">
      <c r="B278" s="6" t="s">
        <v>245</v>
      </c>
      <c r="C278" s="6"/>
    </row>
    <row r="280" spans="2:3" x14ac:dyDescent="0.25">
      <c r="B280" t="s">
        <v>196</v>
      </c>
    </row>
    <row r="283" spans="2:3" x14ac:dyDescent="0.25">
      <c r="B283" t="s">
        <v>134</v>
      </c>
    </row>
    <row r="285" spans="2:3" x14ac:dyDescent="0.25">
      <c r="B285" t="s">
        <v>197</v>
      </c>
    </row>
    <row r="287" spans="2:3" x14ac:dyDescent="0.25">
      <c r="B287" t="s">
        <v>198</v>
      </c>
    </row>
    <row r="289" spans="2:3" x14ac:dyDescent="0.25">
      <c r="B289" t="s">
        <v>199</v>
      </c>
    </row>
    <row r="291" spans="2:3" x14ac:dyDescent="0.25">
      <c r="B291" s="6" t="s">
        <v>200</v>
      </c>
      <c r="C291" s="6"/>
    </row>
    <row r="293" spans="2:3" x14ac:dyDescent="0.25">
      <c r="B293" t="s">
        <v>201</v>
      </c>
    </row>
    <row r="295" spans="2:3" x14ac:dyDescent="0.25">
      <c r="B295" s="6" t="s">
        <v>202</v>
      </c>
      <c r="C295" s="6"/>
    </row>
    <row r="297" spans="2:3" x14ac:dyDescent="0.25">
      <c r="B297" t="s">
        <v>203</v>
      </c>
    </row>
    <row r="299" spans="2:3" x14ac:dyDescent="0.25">
      <c r="B299" s="6" t="s">
        <v>204</v>
      </c>
    </row>
    <row r="301" spans="2:3" x14ac:dyDescent="0.25">
      <c r="B301" t="s">
        <v>205</v>
      </c>
    </row>
    <row r="303" spans="2:3" x14ac:dyDescent="0.25">
      <c r="B303" s="6" t="s">
        <v>206</v>
      </c>
      <c r="C303" s="6"/>
    </row>
    <row r="305" spans="2:2" x14ac:dyDescent="0.25">
      <c r="B305" t="s">
        <v>207</v>
      </c>
    </row>
    <row r="307" spans="2:2" x14ac:dyDescent="0.25">
      <c r="B307" s="6" t="s">
        <v>208</v>
      </c>
    </row>
    <row r="311" spans="2:2" x14ac:dyDescent="0.25">
      <c r="B311" t="s">
        <v>134</v>
      </c>
    </row>
    <row r="313" spans="2:2" x14ac:dyDescent="0.25">
      <c r="B313" t="s">
        <v>209</v>
      </c>
    </row>
    <row r="315" spans="2:2" x14ac:dyDescent="0.25">
      <c r="B315" t="s">
        <v>210</v>
      </c>
    </row>
    <row r="317" spans="2:2" x14ac:dyDescent="0.25">
      <c r="B317" t="s">
        <v>211</v>
      </c>
    </row>
    <row r="320" spans="2:2" x14ac:dyDescent="0.25">
      <c r="B320" t="s">
        <v>212</v>
      </c>
    </row>
    <row r="323" spans="2:2" x14ac:dyDescent="0.25">
      <c r="B323" t="s">
        <v>213</v>
      </c>
    </row>
    <row r="326" spans="2:2" x14ac:dyDescent="0.25">
      <c r="B326" t="s">
        <v>214</v>
      </c>
    </row>
    <row r="329" spans="2:2" x14ac:dyDescent="0.25">
      <c r="B329" t="s">
        <v>215</v>
      </c>
    </row>
    <row r="332" spans="2:2" x14ac:dyDescent="0.25">
      <c r="B332" t="s">
        <v>216</v>
      </c>
    </row>
    <row r="337" spans="2:2" x14ac:dyDescent="0.25">
      <c r="B337" t="s">
        <v>134</v>
      </c>
    </row>
    <row r="339" spans="2:2" x14ac:dyDescent="0.25">
      <c r="B339" t="s">
        <v>217</v>
      </c>
    </row>
    <row r="340" spans="2:2" x14ac:dyDescent="0.25">
      <c r="B340" t="s">
        <v>218</v>
      </c>
    </row>
    <row r="342" spans="2:2" x14ac:dyDescent="0.25">
      <c r="B342" t="s">
        <v>219</v>
      </c>
    </row>
    <row r="344" spans="2:2" x14ac:dyDescent="0.25">
      <c r="B344" t="s">
        <v>220</v>
      </c>
    </row>
    <row r="346" spans="2:2" x14ac:dyDescent="0.25">
      <c r="B346" t="s">
        <v>221</v>
      </c>
    </row>
    <row r="349" spans="2:2" x14ac:dyDescent="0.25">
      <c r="B349" t="s">
        <v>222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>
      <selection activeCell="H10" sqref="H10"/>
    </sheetView>
  </sheetViews>
  <sheetFormatPr defaultRowHeight="15.75" x14ac:dyDescent="0.25"/>
  <sheetData>
    <row r="1" spans="1:8" x14ac:dyDescent="0.25">
      <c r="A1" s="7" t="s">
        <v>0</v>
      </c>
      <c r="B1" s="7" t="s">
        <v>5</v>
      </c>
      <c r="C1" s="10" t="s">
        <v>1</v>
      </c>
      <c r="D1" s="10" t="s">
        <v>6</v>
      </c>
      <c r="E1" s="10" t="s">
        <v>12</v>
      </c>
      <c r="F1" s="10" t="s">
        <v>2</v>
      </c>
      <c r="G1" s="10" t="s">
        <v>3</v>
      </c>
      <c r="H1" s="10" t="s">
        <v>4</v>
      </c>
    </row>
    <row r="2" spans="1:8" x14ac:dyDescent="0.25">
      <c r="A2" s="11">
        <v>45076</v>
      </c>
      <c r="B2" s="7" t="s">
        <v>78</v>
      </c>
      <c r="C2" s="7" t="s">
        <v>79</v>
      </c>
      <c r="D2" s="7" t="s">
        <v>80</v>
      </c>
      <c r="E2" s="7" t="s">
        <v>16</v>
      </c>
      <c r="F2" s="8">
        <v>4500</v>
      </c>
      <c r="G2" s="8">
        <v>598</v>
      </c>
      <c r="H2" s="9">
        <v>0.13288888888888889</v>
      </c>
    </row>
    <row r="3" spans="1:8" x14ac:dyDescent="0.25">
      <c r="A3" s="11">
        <v>45076</v>
      </c>
      <c r="B3" s="7" t="s">
        <v>81</v>
      </c>
      <c r="C3" s="7" t="s">
        <v>82</v>
      </c>
      <c r="D3" s="7" t="s">
        <v>83</v>
      </c>
      <c r="E3" s="7" t="s">
        <v>14</v>
      </c>
      <c r="F3" s="8">
        <v>3800</v>
      </c>
      <c r="G3" s="8">
        <v>1045</v>
      </c>
      <c r="H3" s="9">
        <v>0.27500000000000002</v>
      </c>
    </row>
    <row r="4" spans="1:8" x14ac:dyDescent="0.25">
      <c r="A4" s="11">
        <v>45076</v>
      </c>
      <c r="B4" s="7" t="s">
        <v>84</v>
      </c>
      <c r="C4" s="7" t="s">
        <v>85</v>
      </c>
      <c r="D4" s="7" t="s">
        <v>83</v>
      </c>
      <c r="E4" s="7"/>
      <c r="F4" s="8">
        <v>3712.5</v>
      </c>
      <c r="G4" s="8">
        <v>1009</v>
      </c>
      <c r="H4" s="9">
        <v>0.2717845117845118</v>
      </c>
    </row>
    <row r="5" spans="1:8" x14ac:dyDescent="0.25">
      <c r="A5" s="11">
        <v>45076</v>
      </c>
      <c r="B5" s="7" t="s">
        <v>86</v>
      </c>
      <c r="C5" s="7" t="s">
        <v>7</v>
      </c>
      <c r="D5" s="7" t="s">
        <v>87</v>
      </c>
      <c r="E5" s="7"/>
      <c r="F5" s="8"/>
      <c r="G5" s="8">
        <v>779</v>
      </c>
      <c r="H5" s="9" t="e">
        <v>#DIV/0!</v>
      </c>
    </row>
    <row r="6" spans="1:8" x14ac:dyDescent="0.25">
      <c r="A6" s="11">
        <v>45076</v>
      </c>
      <c r="B6" s="7" t="s">
        <v>88</v>
      </c>
      <c r="C6" s="7" t="s">
        <v>89</v>
      </c>
      <c r="D6" s="7" t="s">
        <v>87</v>
      </c>
      <c r="E6" s="7" t="s">
        <v>15</v>
      </c>
      <c r="F6" s="8">
        <v>5000</v>
      </c>
      <c r="G6" s="8">
        <v>684</v>
      </c>
      <c r="H6" s="9">
        <v>0.1368</v>
      </c>
    </row>
    <row r="7" spans="1:8" x14ac:dyDescent="0.25">
      <c r="A7" s="11">
        <v>45077</v>
      </c>
      <c r="B7" s="7" t="s">
        <v>90</v>
      </c>
      <c r="C7" s="7" t="s">
        <v>91</v>
      </c>
      <c r="D7" s="7" t="s">
        <v>80</v>
      </c>
      <c r="E7" s="7" t="s">
        <v>16</v>
      </c>
      <c r="F7" s="8">
        <v>6100</v>
      </c>
      <c r="G7" s="8">
        <v>544</v>
      </c>
      <c r="H7" s="9">
        <v>8.9180327868852466E-2</v>
      </c>
    </row>
    <row r="8" spans="1:8" x14ac:dyDescent="0.25">
      <c r="A8" s="11">
        <v>45077</v>
      </c>
      <c r="B8" s="7" t="s">
        <v>92</v>
      </c>
      <c r="C8" s="7" t="s">
        <v>93</v>
      </c>
      <c r="D8" s="7" t="s">
        <v>80</v>
      </c>
      <c r="E8" s="7" t="s">
        <v>16</v>
      </c>
      <c r="F8" s="8">
        <v>4625</v>
      </c>
      <c r="G8" s="8">
        <v>670</v>
      </c>
      <c r="H8" s="9">
        <v>0.14486486486486486</v>
      </c>
    </row>
    <row r="9" spans="1:8" x14ac:dyDescent="0.25">
      <c r="A9" s="11">
        <v>45077</v>
      </c>
      <c r="B9" s="7" t="s">
        <v>94</v>
      </c>
      <c r="C9" s="7" t="s">
        <v>95</v>
      </c>
      <c r="D9" s="7" t="s">
        <v>80</v>
      </c>
      <c r="E9" s="7" t="s">
        <v>16</v>
      </c>
      <c r="F9" s="8">
        <v>3800</v>
      </c>
      <c r="G9" s="8">
        <v>2045</v>
      </c>
      <c r="H9" s="9">
        <v>0.53815789473684206</v>
      </c>
    </row>
    <row r="10" spans="1:8" x14ac:dyDescent="0.25">
      <c r="A10" s="11">
        <v>45077</v>
      </c>
      <c r="B10" s="7" t="s">
        <v>96</v>
      </c>
      <c r="C10" s="7" t="s">
        <v>8</v>
      </c>
      <c r="D10" s="7" t="s">
        <v>80</v>
      </c>
      <c r="E10" s="7" t="s">
        <v>13</v>
      </c>
      <c r="F10" s="8">
        <v>3600</v>
      </c>
      <c r="G10" s="8">
        <v>1564</v>
      </c>
      <c r="H10" s="9">
        <v>0.43444444444444447</v>
      </c>
    </row>
    <row r="11" spans="1:8" x14ac:dyDescent="0.25">
      <c r="A11" s="11">
        <v>45077</v>
      </c>
      <c r="B11" s="7" t="s">
        <v>97</v>
      </c>
      <c r="C11" s="7" t="s">
        <v>9</v>
      </c>
      <c r="D11" s="7" t="s">
        <v>80</v>
      </c>
      <c r="E11" s="7" t="s">
        <v>15</v>
      </c>
      <c r="F11" s="8">
        <v>5100</v>
      </c>
      <c r="G11" s="8">
        <v>1220</v>
      </c>
      <c r="H11" s="9">
        <v>0.23921568627450981</v>
      </c>
    </row>
    <row r="12" spans="1:8" x14ac:dyDescent="0.25">
      <c r="A12" s="11">
        <v>45077</v>
      </c>
      <c r="B12" s="7" t="s">
        <v>98</v>
      </c>
      <c r="C12" s="7" t="s">
        <v>99</v>
      </c>
      <c r="D12" s="7" t="s">
        <v>80</v>
      </c>
      <c r="E12" s="7" t="s">
        <v>15</v>
      </c>
      <c r="F12" s="8">
        <v>4750</v>
      </c>
      <c r="G12" s="8">
        <v>1435</v>
      </c>
      <c r="H12" s="9">
        <v>0.30210526315789471</v>
      </c>
    </row>
    <row r="13" spans="1:8" x14ac:dyDescent="0.25">
      <c r="A13" s="11">
        <v>45077</v>
      </c>
      <c r="B13" s="7" t="s">
        <v>100</v>
      </c>
      <c r="C13" s="7" t="s">
        <v>101</v>
      </c>
      <c r="D13" s="7" t="s">
        <v>87</v>
      </c>
      <c r="E13" s="7" t="s">
        <v>16</v>
      </c>
      <c r="F13" s="8">
        <v>6000</v>
      </c>
      <c r="G13" s="8">
        <v>998</v>
      </c>
      <c r="H13" s="9">
        <v>0.16633333333333333</v>
      </c>
    </row>
    <row r="14" spans="1:8" x14ac:dyDescent="0.25">
      <c r="A14" s="11">
        <v>45077</v>
      </c>
      <c r="B14" s="7" t="s">
        <v>102</v>
      </c>
      <c r="C14" s="7" t="s">
        <v>103</v>
      </c>
      <c r="D14" s="7" t="s">
        <v>104</v>
      </c>
      <c r="E14" s="7" t="s">
        <v>15</v>
      </c>
      <c r="F14" s="8">
        <v>4500</v>
      </c>
      <c r="G14" s="8">
        <v>780</v>
      </c>
      <c r="H14" s="9">
        <v>0.17333333333333334</v>
      </c>
    </row>
    <row r="15" spans="1:8" x14ac:dyDescent="0.25">
      <c r="A15" s="11">
        <v>45078</v>
      </c>
      <c r="B15" s="7" t="s">
        <v>105</v>
      </c>
      <c r="C15" s="7" t="s">
        <v>10</v>
      </c>
      <c r="D15" s="7" t="s">
        <v>104</v>
      </c>
      <c r="E15" s="7" t="s">
        <v>13</v>
      </c>
      <c r="F15" s="8"/>
      <c r="G15" s="8">
        <v>1044</v>
      </c>
      <c r="H15" s="9" t="e">
        <v>#DIV/0!</v>
      </c>
    </row>
    <row r="16" spans="1:8" x14ac:dyDescent="0.25">
      <c r="A16" s="11">
        <v>45078</v>
      </c>
      <c r="B16" s="7" t="s">
        <v>106</v>
      </c>
      <c r="C16" s="7" t="s">
        <v>107</v>
      </c>
      <c r="D16" s="7" t="s">
        <v>104</v>
      </c>
      <c r="E16" s="7" t="s">
        <v>16</v>
      </c>
      <c r="F16" s="8">
        <v>3712.5</v>
      </c>
      <c r="G16" s="8">
        <v>1222</v>
      </c>
      <c r="H16" s="9">
        <v>0.32915824915824915</v>
      </c>
    </row>
    <row r="17" spans="1:8" x14ac:dyDescent="0.25">
      <c r="A17" s="11">
        <v>45078</v>
      </c>
      <c r="B17" s="7" t="s">
        <v>108</v>
      </c>
      <c r="C17" s="7" t="s">
        <v>109</v>
      </c>
      <c r="D17" s="7" t="s">
        <v>104</v>
      </c>
      <c r="E17" s="7" t="s">
        <v>16</v>
      </c>
      <c r="F17" s="8">
        <v>4950</v>
      </c>
      <c r="G17" s="8">
        <v>1065</v>
      </c>
      <c r="H17" s="9">
        <v>0.21515151515151515</v>
      </c>
    </row>
    <row r="18" spans="1:8" x14ac:dyDescent="0.25">
      <c r="A18" s="11">
        <v>45078</v>
      </c>
      <c r="B18" s="7" t="s">
        <v>110</v>
      </c>
      <c r="C18" s="7" t="s">
        <v>111</v>
      </c>
      <c r="D18" s="7" t="s">
        <v>87</v>
      </c>
      <c r="E18" s="7" t="s">
        <v>16</v>
      </c>
      <c r="F18" s="8">
        <v>4750</v>
      </c>
      <c r="G18" s="8">
        <v>810</v>
      </c>
      <c r="H18" s="9">
        <v>0.17052631578947369</v>
      </c>
    </row>
    <row r="19" spans="1:8" x14ac:dyDescent="0.25">
      <c r="A19" s="11">
        <v>45078</v>
      </c>
      <c r="B19" s="7" t="s">
        <v>112</v>
      </c>
      <c r="C19" s="7" t="s">
        <v>113</v>
      </c>
      <c r="D19" s="7" t="s">
        <v>87</v>
      </c>
      <c r="E19" s="7" t="s">
        <v>16</v>
      </c>
      <c r="F19" s="8">
        <v>7320</v>
      </c>
      <c r="G19" s="8">
        <v>933</v>
      </c>
      <c r="H19" s="9">
        <v>0.12745901639344262</v>
      </c>
    </row>
    <row r="20" spans="1:8" x14ac:dyDescent="0.25">
      <c r="A20" s="11">
        <v>45077</v>
      </c>
      <c r="B20" s="7" t="s">
        <v>100</v>
      </c>
      <c r="C20" s="7" t="s">
        <v>101</v>
      </c>
      <c r="D20" s="7" t="s">
        <v>87</v>
      </c>
      <c r="E20" s="7" t="s">
        <v>16</v>
      </c>
      <c r="F20" s="8">
        <v>6000</v>
      </c>
      <c r="G20" s="8">
        <v>998</v>
      </c>
      <c r="H20" s="9">
        <v>0.16633333333333333</v>
      </c>
    </row>
    <row r="21" spans="1:8" x14ac:dyDescent="0.25">
      <c r="A21" s="11">
        <v>45077</v>
      </c>
      <c r="B21" s="7" t="s">
        <v>102</v>
      </c>
      <c r="C21" s="7" t="s">
        <v>103</v>
      </c>
      <c r="D21" s="7" t="s">
        <v>104</v>
      </c>
      <c r="E21" s="7" t="s">
        <v>15</v>
      </c>
      <c r="F21" s="8">
        <v>4500</v>
      </c>
      <c r="G21" s="8">
        <v>780</v>
      </c>
      <c r="H21" s="9">
        <v>0.17333333333333334</v>
      </c>
    </row>
    <row r="22" spans="1:8" x14ac:dyDescent="0.25">
      <c r="A22" s="11">
        <v>45078</v>
      </c>
      <c r="B22" s="7" t="s">
        <v>114</v>
      </c>
      <c r="C22" s="7" t="s">
        <v>115</v>
      </c>
      <c r="D22" s="7" t="s">
        <v>104</v>
      </c>
      <c r="E22" s="7" t="s">
        <v>16</v>
      </c>
      <c r="F22" s="8">
        <v>5087.5</v>
      </c>
      <c r="G22" s="8">
        <v>655</v>
      </c>
      <c r="H22" s="9">
        <v>0.12874692874692875</v>
      </c>
    </row>
    <row r="23" spans="1:8" x14ac:dyDescent="0.25">
      <c r="A23" s="11">
        <v>45078</v>
      </c>
      <c r="B23" s="7" t="s">
        <v>116</v>
      </c>
      <c r="C23" s="7" t="s">
        <v>117</v>
      </c>
      <c r="D23" s="7" t="s">
        <v>104</v>
      </c>
      <c r="E23" s="7" t="s">
        <v>16</v>
      </c>
      <c r="F23" s="8">
        <v>4500</v>
      </c>
      <c r="G23" s="8">
        <v>722</v>
      </c>
      <c r="H23" s="9">
        <v>0.16044444444444445</v>
      </c>
    </row>
    <row r="24" spans="1:8" x14ac:dyDescent="0.25">
      <c r="A24" s="11">
        <v>45078</v>
      </c>
      <c r="B24" s="7" t="s">
        <v>118</v>
      </c>
      <c r="C24" s="7" t="s">
        <v>119</v>
      </c>
      <c r="D24" s="7" t="s">
        <v>104</v>
      </c>
      <c r="E24" s="7" t="s">
        <v>13</v>
      </c>
      <c r="F24" s="8">
        <v>4250</v>
      </c>
      <c r="G24" s="8">
        <v>901</v>
      </c>
      <c r="H24" s="9">
        <v>0.21199999999999999</v>
      </c>
    </row>
    <row r="25" spans="1:8" x14ac:dyDescent="0.25">
      <c r="A25" s="11">
        <v>45079</v>
      </c>
      <c r="B25" s="7" t="s">
        <v>120</v>
      </c>
      <c r="C25" s="7" t="s">
        <v>121</v>
      </c>
      <c r="D25" s="7" t="s">
        <v>104</v>
      </c>
      <c r="E25" s="7" t="s">
        <v>14</v>
      </c>
      <c r="F25" s="8">
        <v>5250</v>
      </c>
      <c r="G25" s="8">
        <v>1349</v>
      </c>
      <c r="H25" s="9">
        <v>0.25695238095238093</v>
      </c>
    </row>
    <row r="26" spans="1:8" x14ac:dyDescent="0.25">
      <c r="A26" s="11">
        <v>45079</v>
      </c>
      <c r="B26" s="7" t="s">
        <v>122</v>
      </c>
      <c r="C26" s="7" t="s">
        <v>123</v>
      </c>
      <c r="D26" s="7" t="s">
        <v>83</v>
      </c>
      <c r="E26" s="7" t="s">
        <v>14</v>
      </c>
      <c r="F26" s="8">
        <v>6500</v>
      </c>
      <c r="G26" s="8">
        <v>1288</v>
      </c>
      <c r="H26" s="9">
        <v>0.19815384615384615</v>
      </c>
    </row>
    <row r="27" spans="1:8" x14ac:dyDescent="0.25">
      <c r="A27" s="11">
        <v>45079</v>
      </c>
      <c r="B27" s="7" t="s">
        <v>124</v>
      </c>
      <c r="C27" s="7" t="s">
        <v>125</v>
      </c>
      <c r="D27" s="7" t="s">
        <v>83</v>
      </c>
      <c r="E27" s="7" t="s">
        <v>14</v>
      </c>
      <c r="F27" s="8">
        <v>7500</v>
      </c>
      <c r="G27" s="8">
        <v>1664</v>
      </c>
      <c r="H27" s="9">
        <v>0.22186666666666666</v>
      </c>
    </row>
    <row r="28" spans="1:8" x14ac:dyDescent="0.25">
      <c r="A28" s="11">
        <v>45079</v>
      </c>
      <c r="B28" s="7" t="s">
        <v>126</v>
      </c>
      <c r="C28" s="7" t="s">
        <v>127</v>
      </c>
      <c r="D28" s="7" t="s">
        <v>83</v>
      </c>
      <c r="E28" s="7" t="s">
        <v>16</v>
      </c>
      <c r="F28" s="8">
        <v>5500</v>
      </c>
      <c r="G28" s="8">
        <v>1320</v>
      </c>
      <c r="H28" s="9">
        <v>0.24</v>
      </c>
    </row>
    <row r="29" spans="1:8" x14ac:dyDescent="0.25">
      <c r="A29" s="11">
        <v>45079</v>
      </c>
      <c r="B29" s="7" t="s">
        <v>128</v>
      </c>
      <c r="C29" s="7" t="s">
        <v>129</v>
      </c>
      <c r="D29" s="7" t="s">
        <v>83</v>
      </c>
      <c r="E29" s="7" t="s">
        <v>16</v>
      </c>
      <c r="F29" s="8">
        <v>4625</v>
      </c>
      <c r="G29" s="8">
        <v>1001</v>
      </c>
      <c r="H29" s="9">
        <v>0.21643243243243243</v>
      </c>
    </row>
    <row r="30" spans="1:8" x14ac:dyDescent="0.25">
      <c r="A30" s="11">
        <v>45079</v>
      </c>
      <c r="B30" s="7" t="s">
        <v>130</v>
      </c>
      <c r="C30" s="7" t="s">
        <v>131</v>
      </c>
      <c r="D30" s="7" t="s">
        <v>83</v>
      </c>
      <c r="E30" s="7" t="s">
        <v>16</v>
      </c>
      <c r="F30" s="8">
        <v>4500</v>
      </c>
      <c r="G30" s="8">
        <v>960</v>
      </c>
      <c r="H30" s="9">
        <v>0.21333333333333335</v>
      </c>
    </row>
    <row r="31" spans="1:8" x14ac:dyDescent="0.25">
      <c r="A31" s="11">
        <v>45079</v>
      </c>
      <c r="B31" s="7" t="s">
        <v>132</v>
      </c>
      <c r="C31" s="7" t="s">
        <v>11</v>
      </c>
      <c r="D31" s="7" t="s">
        <v>83</v>
      </c>
      <c r="E31" s="7" t="s">
        <v>13</v>
      </c>
      <c r="F31" s="8">
        <v>5400</v>
      </c>
      <c r="G31" s="8">
        <v>540</v>
      </c>
      <c r="H31" s="9">
        <v>0.1</v>
      </c>
    </row>
    <row r="32" spans="1:8" x14ac:dyDescent="0.25">
      <c r="A32" s="11">
        <v>45076</v>
      </c>
      <c r="B32" s="7" t="s">
        <v>88</v>
      </c>
      <c r="C32" s="7" t="s">
        <v>89</v>
      </c>
      <c r="D32" s="7" t="s">
        <v>87</v>
      </c>
      <c r="E32" s="7" t="s">
        <v>15</v>
      </c>
      <c r="F32" s="8">
        <v>5000</v>
      </c>
      <c r="G32" s="8">
        <v>684</v>
      </c>
      <c r="H32" s="9">
        <v>0.1368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cleaning data</vt:lpstr>
      <vt:lpstr>complex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upgrad</cp:lastModifiedBy>
  <dcterms:created xsi:type="dcterms:W3CDTF">2023-05-29T07:26:35Z</dcterms:created>
  <dcterms:modified xsi:type="dcterms:W3CDTF">2026-05-04T07:54:55Z</dcterms:modified>
</cp:coreProperties>
</file>